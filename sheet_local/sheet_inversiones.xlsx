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5"/>
    <sheet state="visible" name="Instrumentos" sheetId="2" r:id="rId6"/>
    <sheet state="visible" name="Precios" sheetId="3" r:id="rId7"/>
  </sheets>
  <definedNames/>
  <calcPr/>
</workbook>
</file>

<file path=xl/sharedStrings.xml><?xml version="1.0" encoding="utf-8"?>
<sst xmlns="http://schemas.openxmlformats.org/spreadsheetml/2006/main" count="152" uniqueCount="46">
  <si>
    <t>Ticker</t>
  </si>
  <si>
    <t>Fecha</t>
  </si>
  <si>
    <t>Nombre</t>
  </si>
  <si>
    <t>Tipo Instrumento</t>
  </si>
  <si>
    <t>Mercado</t>
  </si>
  <si>
    <t>Moneda</t>
  </si>
  <si>
    <t>Cartera</t>
  </si>
  <si>
    <t>País</t>
  </si>
  <si>
    <t>Sector</t>
  </si>
  <si>
    <t>Precio</t>
  </si>
  <si>
    <t>Tipo Movimiento</t>
  </si>
  <si>
    <t>Fecha Vencimiento</t>
  </si>
  <si>
    <t>CER</t>
  </si>
  <si>
    <t>Cantidad</t>
  </si>
  <si>
    <t>XLE</t>
  </si>
  <si>
    <t>MEP</t>
  </si>
  <si>
    <t>Energy Sector ETF</t>
  </si>
  <si>
    <t>CEDEAR</t>
  </si>
  <si>
    <t>Global</t>
  </si>
  <si>
    <t>Comisión</t>
  </si>
  <si>
    <t>ARS</t>
  </si>
  <si>
    <t>AR</t>
  </si>
  <si>
    <t>Energía</t>
  </si>
  <si>
    <t/>
  </si>
  <si>
    <t>TZXD7</t>
  </si>
  <si>
    <t>Boncer 2027 (CER +0%)</t>
  </si>
  <si>
    <t>Bono</t>
  </si>
  <si>
    <t>MERVAL</t>
  </si>
  <si>
    <t>Fondo de emergencia</t>
  </si>
  <si>
    <t>Soberano</t>
  </si>
  <si>
    <t>1810 Ahorros Activos</t>
  </si>
  <si>
    <t>S30S6</t>
  </si>
  <si>
    <t>Compra</t>
  </si>
  <si>
    <t>Setea Sep 2026 (2.53%)</t>
  </si>
  <si>
    <t>FCI Money Market</t>
  </si>
  <si>
    <t>FCI</t>
  </si>
  <si>
    <t>Liquidez</t>
  </si>
  <si>
    <t>SYP</t>
  </si>
  <si>
    <t>Indice</t>
  </si>
  <si>
    <t>Preservación de Capital</t>
  </si>
  <si>
    <t>KO</t>
  </si>
  <si>
    <t>Consumo Masivo</t>
  </si>
  <si>
    <t>Cosumo Masivo</t>
  </si>
  <si>
    <t>MSFT</t>
  </si>
  <si>
    <t>Tecnologia</t>
  </si>
  <si>
    <t>Jubilación (30 años)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</si>
</sst>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#,##0.0000"/>
    <numFmt numFmtId="166" formatCode="dd/mm/yyyy"/>
    <numFmt numFmtId="167" formatCode="yyyy-mm-dd"/>
  </numFmts>
  <fonts count="6">
    <font>
      <sz val="10.0"/>
      <color rgb="FF000000"/>
      <name val="Arial"/>
      <scheme val="minor"/>
    </font>
    <font>
      <color theme="1"/>
      <name val="-apple-system"/>
    </font>
    <font>
      <b/>
      <color theme="1"/>
      <name val="-apple-system"/>
    </font>
    <font>
      <color theme="1"/>
      <name val="Arial"/>
      <scheme val="minor"/>
    </font>
    <font>
      <color rgb="FF1F1F1F"/>
      <name val="Google Sans Text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2" fontId="3" numFmtId="164" xfId="0" applyAlignment="1" applyFill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2" numFmtId="4" xfId="0" applyAlignment="1" applyBorder="1" applyFont="1" applyNumberFormat="1">
      <alignment horizontal="center" readingOrder="0"/>
    </xf>
    <xf borderId="0" fillId="3" fontId="5" numFmtId="165" xfId="0" applyAlignment="1" applyFill="1" applyFont="1" applyNumberFormat="1">
      <alignment horizontal="right" vertical="bottom"/>
    </xf>
    <xf borderId="0" fillId="3" fontId="3" numFmtId="4" xfId="0" applyAlignment="1" applyFont="1" applyNumberFormat="1">
      <alignment readingOrder="0"/>
    </xf>
    <xf borderId="0" fillId="0" fontId="5" numFmtId="166" xfId="0" applyAlignment="1" applyFont="1" applyNumberFormat="1">
      <alignment horizontal="right" vertical="bottom"/>
    </xf>
    <xf borderId="1" fillId="0" fontId="5" numFmtId="0" xfId="0" applyAlignment="1" applyBorder="1" applyFont="1">
      <alignment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1" fillId="0" fontId="5" numFmtId="4" xfId="0" applyAlignment="1" applyBorder="1" applyFont="1" applyNumberFormat="1">
      <alignment readingOrder="0"/>
    </xf>
    <xf borderId="1" fillId="0" fontId="1" numFmtId="167" xfId="0" applyAlignment="1" applyBorder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1" numFmtId="0" xfId="0" applyFont="1"/>
    <xf borderId="0" fillId="0" fontId="5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10" xfId="0" applyFont="1" applyNumberFormat="1"/>
    <xf borderId="0" fillId="0" fontId="5" numFmtId="0" xfId="0" applyAlignment="1" applyFont="1">
      <alignment vertical="bottom"/>
    </xf>
    <xf borderId="0" fillId="0" fontId="5" numFmtId="166" xfId="0" applyAlignment="1" applyFont="1" applyNumberFormat="1">
      <alignment horizontal="right" readingOrder="0" vertical="bottom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6.88"/>
  </cols>
  <sheetData>
    <row r="1">
      <c r="A1" s="2" t="s">
        <v>1</v>
      </c>
      <c r="B1" s="2" t="s">
        <v>6</v>
      </c>
      <c r="C1" s="2" t="s">
        <v>0</v>
      </c>
      <c r="D1" s="2" t="s">
        <v>10</v>
      </c>
      <c r="E1" s="2" t="s">
        <v>13</v>
      </c>
      <c r="F1" s="2" t="s">
        <v>9</v>
      </c>
      <c r="G1" s="2" t="s">
        <v>5</v>
      </c>
      <c r="H1" s="7" t="s">
        <v>19</v>
      </c>
      <c r="I1" s="7" t="s">
        <v>12</v>
      </c>
      <c r="J1" s="7" t="s">
        <v>15</v>
      </c>
    </row>
    <row r="2">
      <c r="A2" s="10">
        <v>46203.0</v>
      </c>
      <c r="B2" s="11" t="s">
        <v>28</v>
      </c>
      <c r="C2" s="3" t="s">
        <v>30</v>
      </c>
      <c r="D2" s="6" t="s">
        <v>32</v>
      </c>
      <c r="E2" s="12">
        <v>67851.0</v>
      </c>
      <c r="F2" s="14">
        <v>29.48</v>
      </c>
      <c r="G2" s="6" t="s">
        <v>20</v>
      </c>
      <c r="H2" s="15">
        <v>0.0</v>
      </c>
      <c r="I2" s="12">
        <v>799.2033</v>
      </c>
      <c r="J2" s="12">
        <v>1521.33</v>
      </c>
    </row>
    <row r="3">
      <c r="A3" s="10">
        <v>46203.0</v>
      </c>
      <c r="B3" s="11" t="s">
        <v>28</v>
      </c>
      <c r="C3" s="3" t="s">
        <v>30</v>
      </c>
      <c r="D3" s="6" t="s">
        <v>32</v>
      </c>
      <c r="E3" s="12">
        <v>101776.0</v>
      </c>
      <c r="F3" s="14">
        <v>29.48</v>
      </c>
      <c r="G3" s="6" t="s">
        <v>20</v>
      </c>
      <c r="H3" s="15">
        <v>0.0</v>
      </c>
      <c r="I3" s="12">
        <v>799.2033</v>
      </c>
      <c r="J3" s="12">
        <v>1521.33</v>
      </c>
    </row>
    <row r="4">
      <c r="A4" s="10">
        <v>46205.0</v>
      </c>
      <c r="B4" s="11" t="s">
        <v>39</v>
      </c>
      <c r="C4" s="3" t="s">
        <v>31</v>
      </c>
      <c r="D4" s="6" t="s">
        <v>32</v>
      </c>
      <c r="E4" s="20">
        <v>89846.0</v>
      </c>
      <c r="F4" s="22">
        <f t="shared" ref="F4:F6" si="1">111.3/100</f>
        <v>1.113</v>
      </c>
      <c r="G4" s="6" t="s">
        <v>20</v>
      </c>
      <c r="H4" s="23">
        <v>10.0</v>
      </c>
      <c r="I4" s="12">
        <v>800.3114</v>
      </c>
      <c r="J4" s="12">
        <v>1529.77</v>
      </c>
    </row>
    <row r="5">
      <c r="A5" s="10">
        <v>46205.0</v>
      </c>
      <c r="B5" s="11" t="s">
        <v>39</v>
      </c>
      <c r="C5" s="3" t="s">
        <v>31</v>
      </c>
      <c r="D5" s="6" t="s">
        <v>32</v>
      </c>
      <c r="E5" s="20">
        <v>449224.0</v>
      </c>
      <c r="F5" s="22">
        <f t="shared" si="1"/>
        <v>1.113</v>
      </c>
      <c r="G5" s="6" t="s">
        <v>20</v>
      </c>
      <c r="H5" s="23">
        <v>50.0</v>
      </c>
      <c r="I5" s="12">
        <v>800.3114</v>
      </c>
      <c r="J5" s="12">
        <v>1529.77</v>
      </c>
    </row>
    <row r="6">
      <c r="A6" s="10">
        <v>46205.0</v>
      </c>
      <c r="B6" s="11" t="s">
        <v>39</v>
      </c>
      <c r="C6" s="3" t="s">
        <v>31</v>
      </c>
      <c r="D6" s="6" t="s">
        <v>32</v>
      </c>
      <c r="E6" s="20">
        <v>448994.0</v>
      </c>
      <c r="F6" s="22">
        <f t="shared" si="1"/>
        <v>1.113</v>
      </c>
      <c r="G6" s="6" t="s">
        <v>20</v>
      </c>
      <c r="H6" s="23">
        <v>50.0</v>
      </c>
      <c r="I6" s="12">
        <v>800.3114</v>
      </c>
      <c r="J6" s="12">
        <v>1529.77</v>
      </c>
    </row>
    <row r="7">
      <c r="A7" s="10">
        <v>46205.0</v>
      </c>
      <c r="B7" s="11" t="s">
        <v>39</v>
      </c>
      <c r="C7" s="3" t="s">
        <v>24</v>
      </c>
      <c r="D7" s="6" t="s">
        <v>32</v>
      </c>
      <c r="E7" s="20">
        <v>187722.0</v>
      </c>
      <c r="F7" s="22">
        <f>266.35/100</f>
        <v>2.6635</v>
      </c>
      <c r="G7" s="6" t="s">
        <v>20</v>
      </c>
      <c r="H7" s="15">
        <v>50.0</v>
      </c>
      <c r="I7" s="20">
        <v>800.3114</v>
      </c>
      <c r="J7" s="20">
        <v>1529.77</v>
      </c>
    </row>
    <row r="8">
      <c r="A8" s="10">
        <v>46206.0</v>
      </c>
      <c r="B8" s="11" t="s">
        <v>39</v>
      </c>
      <c r="C8" s="3" t="s">
        <v>24</v>
      </c>
      <c r="D8" s="6" t="s">
        <v>32</v>
      </c>
      <c r="E8" s="20">
        <v>1112966.0</v>
      </c>
      <c r="F8" s="22">
        <f>266.95/100</f>
        <v>2.6695</v>
      </c>
      <c r="G8" s="6" t="s">
        <v>20</v>
      </c>
      <c r="H8" s="15">
        <v>297.0</v>
      </c>
      <c r="I8" s="20">
        <v>800.866</v>
      </c>
      <c r="J8" s="20">
        <v>1524.53</v>
      </c>
    </row>
    <row r="9">
      <c r="A9" s="26">
        <v>46234.0</v>
      </c>
      <c r="B9" s="11" t="s">
        <v>45</v>
      </c>
      <c r="C9" s="3" t="s">
        <v>14</v>
      </c>
      <c r="D9" s="6" t="s">
        <v>32</v>
      </c>
      <c r="E9" s="15">
        <v>2.0</v>
      </c>
      <c r="F9" s="15">
        <v>45400.0</v>
      </c>
      <c r="G9" s="6" t="s">
        <v>20</v>
      </c>
      <c r="H9" s="15">
        <v>45.0</v>
      </c>
      <c r="I9" s="12">
        <v>815.43</v>
      </c>
      <c r="J9" s="12">
        <v>1516.89</v>
      </c>
      <c r="M9" s="27">
        <f>F9*E9+H9</f>
        <v>90845</v>
      </c>
    </row>
    <row r="10">
      <c r="A10" s="26">
        <v>46234.0</v>
      </c>
      <c r="B10" s="11" t="s">
        <v>39</v>
      </c>
      <c r="C10" s="3" t="s">
        <v>31</v>
      </c>
      <c r="D10" s="6" t="s">
        <v>32</v>
      </c>
      <c r="E10" s="23">
        <v>458771.0</v>
      </c>
      <c r="F10" s="22">
        <f>113.3/100</f>
        <v>1.133</v>
      </c>
      <c r="G10" s="6" t="s">
        <v>20</v>
      </c>
      <c r="H10" s="23">
        <v>2729.16</v>
      </c>
      <c r="I10" s="12">
        <v>815.43</v>
      </c>
      <c r="J10" s="12">
        <v>1516.89</v>
      </c>
      <c r="M10" s="13">
        <f>M9/1519</f>
        <v>59.80579329</v>
      </c>
    </row>
    <row r="11">
      <c r="A11" s="26">
        <v>46234.0</v>
      </c>
      <c r="B11" s="11" t="s">
        <v>45</v>
      </c>
      <c r="C11" s="17" t="s">
        <v>37</v>
      </c>
      <c r="D11" s="6" t="s">
        <v>32</v>
      </c>
      <c r="E11" s="3">
        <v>50.0</v>
      </c>
      <c r="F11" s="3">
        <v>19600.0</v>
      </c>
      <c r="G11" s="6" t="s">
        <v>20</v>
      </c>
      <c r="H11" s="3">
        <v>5586.0</v>
      </c>
      <c r="I11" s="12">
        <v>815.43</v>
      </c>
      <c r="J11" s="12">
        <v>1516.89</v>
      </c>
    </row>
    <row r="12">
      <c r="A12" s="26">
        <v>46234.0</v>
      </c>
      <c r="B12" s="11" t="s">
        <v>45</v>
      </c>
      <c r="C12" s="17" t="s">
        <v>40</v>
      </c>
      <c r="D12" s="6" t="s">
        <v>32</v>
      </c>
      <c r="E12" s="3">
        <v>17.0</v>
      </c>
      <c r="F12" s="3">
        <v>27660.0</v>
      </c>
      <c r="G12" s="6" t="s">
        <v>20</v>
      </c>
      <c r="H12" s="3">
        <v>2680.25</v>
      </c>
      <c r="I12" s="12">
        <v>815.43</v>
      </c>
      <c r="J12" s="12">
        <v>1516.89</v>
      </c>
    </row>
    <row r="13">
      <c r="A13" s="26">
        <v>46234.0</v>
      </c>
      <c r="B13" s="11" t="s">
        <v>45</v>
      </c>
      <c r="C13" s="17" t="s">
        <v>43</v>
      </c>
      <c r="D13" s="6" t="s">
        <v>32</v>
      </c>
      <c r="E13" s="3">
        <v>20.0</v>
      </c>
      <c r="F13" s="3">
        <v>23940.0</v>
      </c>
      <c r="G13" s="6" t="s">
        <v>20</v>
      </c>
      <c r="H13" s="3">
        <v>2729.16</v>
      </c>
      <c r="I13" s="12">
        <v>815.43</v>
      </c>
      <c r="J13" s="12">
        <v>1516.89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8" max="8" width="15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11</v>
      </c>
    </row>
    <row r="2">
      <c r="A2" s="4" t="s">
        <v>14</v>
      </c>
      <c r="B2" s="3" t="s">
        <v>16</v>
      </c>
      <c r="C2" s="3" t="s">
        <v>17</v>
      </c>
      <c r="D2" s="6" t="s">
        <v>18</v>
      </c>
      <c r="E2" s="6" t="s">
        <v>20</v>
      </c>
      <c r="F2" s="6" t="s">
        <v>21</v>
      </c>
      <c r="G2" s="6" t="s">
        <v>22</v>
      </c>
      <c r="H2" s="6" t="s">
        <v>23</v>
      </c>
    </row>
    <row r="3">
      <c r="A3" s="4" t="s">
        <v>24</v>
      </c>
      <c r="B3" s="3" t="s">
        <v>25</v>
      </c>
      <c r="C3" s="3" t="s">
        <v>26</v>
      </c>
      <c r="D3" s="6" t="s">
        <v>27</v>
      </c>
      <c r="E3" s="6" t="s">
        <v>20</v>
      </c>
      <c r="F3" s="6" t="s">
        <v>21</v>
      </c>
      <c r="G3" s="6" t="s">
        <v>29</v>
      </c>
      <c r="H3" s="6" t="s">
        <v>23</v>
      </c>
    </row>
    <row r="4">
      <c r="A4" s="4" t="s">
        <v>31</v>
      </c>
      <c r="B4" s="3" t="s">
        <v>33</v>
      </c>
      <c r="C4" s="3" t="s">
        <v>26</v>
      </c>
      <c r="D4" s="6" t="s">
        <v>27</v>
      </c>
      <c r="E4" s="6" t="s">
        <v>20</v>
      </c>
      <c r="F4" s="6" t="s">
        <v>21</v>
      </c>
      <c r="G4" s="6" t="s">
        <v>29</v>
      </c>
      <c r="H4" s="6" t="s">
        <v>23</v>
      </c>
    </row>
    <row r="5">
      <c r="A5" s="4" t="s">
        <v>30</v>
      </c>
      <c r="B5" s="3" t="s">
        <v>34</v>
      </c>
      <c r="C5" s="3" t="s">
        <v>35</v>
      </c>
      <c r="D5" s="6" t="s">
        <v>27</v>
      </c>
      <c r="E5" s="6" t="s">
        <v>20</v>
      </c>
      <c r="F5" s="6" t="s">
        <v>21</v>
      </c>
      <c r="G5" s="6" t="s">
        <v>36</v>
      </c>
      <c r="H5" s="16"/>
    </row>
    <row r="6">
      <c r="A6" s="17" t="s">
        <v>37</v>
      </c>
      <c r="B6" s="18" t="s">
        <v>38</v>
      </c>
      <c r="C6" s="18" t="s">
        <v>17</v>
      </c>
      <c r="D6" s="6" t="s">
        <v>18</v>
      </c>
      <c r="E6" s="6" t="s">
        <v>20</v>
      </c>
      <c r="F6" s="6" t="s">
        <v>21</v>
      </c>
      <c r="G6" s="18" t="s">
        <v>38</v>
      </c>
      <c r="H6" s="19"/>
    </row>
    <row r="7">
      <c r="A7" s="17" t="s">
        <v>40</v>
      </c>
      <c r="B7" s="3" t="s">
        <v>41</v>
      </c>
      <c r="C7" s="18" t="s">
        <v>17</v>
      </c>
      <c r="D7" s="6" t="s">
        <v>18</v>
      </c>
      <c r="E7" s="6" t="s">
        <v>20</v>
      </c>
      <c r="F7" s="6" t="s">
        <v>21</v>
      </c>
      <c r="G7" s="3" t="s">
        <v>42</v>
      </c>
    </row>
    <row r="8">
      <c r="A8" s="17" t="s">
        <v>43</v>
      </c>
      <c r="B8" s="3" t="s">
        <v>44</v>
      </c>
      <c r="C8" s="18" t="s">
        <v>17</v>
      </c>
      <c r="D8" s="6" t="s">
        <v>18</v>
      </c>
      <c r="E8" s="6" t="s">
        <v>20</v>
      </c>
      <c r="F8" s="6" t="s">
        <v>21</v>
      </c>
      <c r="G8" s="3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0</v>
      </c>
      <c r="C1" s="3" t="s">
        <v>9</v>
      </c>
      <c r="D1" s="3" t="s">
        <v>5</v>
      </c>
      <c r="E1" s="3" t="s">
        <v>12</v>
      </c>
      <c r="F1" s="3" t="s">
        <v>15</v>
      </c>
    </row>
    <row r="2">
      <c r="A2" s="5">
        <v>46227.0</v>
      </c>
      <c r="B2" s="4" t="s">
        <v>14</v>
      </c>
      <c r="C2" s="8">
        <v>47620.0</v>
      </c>
      <c r="D2" s="3" t="s">
        <v>20</v>
      </c>
      <c r="E2" s="9">
        <v>811.9762</v>
      </c>
      <c r="F2" s="9">
        <v>1530.38</v>
      </c>
      <c r="H2" s="13">
        <f>C2*2</f>
        <v>95240</v>
      </c>
    </row>
    <row r="3">
      <c r="A3" s="5">
        <v>46227.0</v>
      </c>
      <c r="B3" s="4" t="s">
        <v>24</v>
      </c>
      <c r="C3" s="8">
        <f>271.05/100</f>
        <v>2.7105</v>
      </c>
      <c r="D3" s="3" t="s">
        <v>20</v>
      </c>
      <c r="E3" s="9">
        <v>811.9762</v>
      </c>
      <c r="F3" s="9">
        <v>1530.38</v>
      </c>
      <c r="H3" s="13">
        <f>H2/1530.38</f>
        <v>62.23290947</v>
      </c>
    </row>
    <row r="4">
      <c r="A4" s="5">
        <v>46227.0</v>
      </c>
      <c r="B4" s="4" t="s">
        <v>31</v>
      </c>
      <c r="C4" s="8">
        <f>112.83/100</f>
        <v>1.1283</v>
      </c>
      <c r="D4" s="3" t="s">
        <v>20</v>
      </c>
      <c r="E4" s="9">
        <v>811.9762</v>
      </c>
      <c r="F4" s="9">
        <v>1530.38</v>
      </c>
    </row>
    <row r="5">
      <c r="A5" s="5">
        <v>46227.0</v>
      </c>
      <c r="B5" s="4" t="s">
        <v>30</v>
      </c>
      <c r="C5" s="8">
        <v>30.01</v>
      </c>
      <c r="D5" s="3" t="s">
        <v>20</v>
      </c>
      <c r="E5" s="9">
        <v>811.9762</v>
      </c>
      <c r="F5" s="9">
        <v>1530.38</v>
      </c>
    </row>
    <row r="6">
      <c r="A6" s="5">
        <v>46230.0</v>
      </c>
      <c r="B6" s="4" t="s">
        <v>14</v>
      </c>
      <c r="C6" s="21">
        <v>46880.0</v>
      </c>
      <c r="D6" s="3" t="s">
        <v>20</v>
      </c>
      <c r="E6" s="9">
        <v>813.4565</v>
      </c>
      <c r="F6" s="9">
        <v>1532.78</v>
      </c>
      <c r="H6" s="24">
        <f>(62.2329/59.80579329)-1</f>
        <v>0.04058313713</v>
      </c>
    </row>
    <row r="7">
      <c r="A7" s="5">
        <v>46230.0</v>
      </c>
      <c r="B7" s="4" t="s">
        <v>24</v>
      </c>
      <c r="C7" s="8">
        <f>271.35/100</f>
        <v>2.7135</v>
      </c>
      <c r="D7" s="3" t="s">
        <v>20</v>
      </c>
      <c r="E7" s="9">
        <v>813.4565</v>
      </c>
      <c r="F7" s="9">
        <v>1532.78</v>
      </c>
    </row>
    <row r="8">
      <c r="A8" s="5">
        <v>46230.0</v>
      </c>
      <c r="B8" s="4" t="s">
        <v>31</v>
      </c>
      <c r="C8" s="8">
        <f>112.909/100</f>
        <v>1.12909</v>
      </c>
      <c r="D8" s="3" t="s">
        <v>20</v>
      </c>
      <c r="E8" s="9">
        <v>813.4565</v>
      </c>
      <c r="F8" s="9">
        <v>1532.78</v>
      </c>
    </row>
    <row r="9">
      <c r="A9" s="5">
        <v>46230.0</v>
      </c>
      <c r="B9" s="4" t="s">
        <v>30</v>
      </c>
      <c r="C9" s="21">
        <v>30.084208</v>
      </c>
      <c r="D9" s="3" t="s">
        <v>20</v>
      </c>
      <c r="E9" s="9">
        <v>813.4565</v>
      </c>
      <c r="F9" s="9">
        <v>1532.78</v>
      </c>
    </row>
    <row r="10">
      <c r="A10" s="5">
        <v>46234.0</v>
      </c>
      <c r="B10" s="4" t="s">
        <v>14</v>
      </c>
      <c r="C10" s="21">
        <v>46600.0</v>
      </c>
      <c r="D10" s="3" t="s">
        <v>20</v>
      </c>
      <c r="E10" s="9">
        <v>815.43</v>
      </c>
      <c r="F10" s="9">
        <v>1516.89</v>
      </c>
    </row>
    <row r="11">
      <c r="A11" s="5">
        <v>46234.0</v>
      </c>
      <c r="B11" s="4" t="s">
        <v>24</v>
      </c>
      <c r="C11" s="21">
        <f>271/100</f>
        <v>2.71</v>
      </c>
      <c r="D11" s="3" t="s">
        <v>20</v>
      </c>
      <c r="E11" s="9">
        <v>815.43</v>
      </c>
      <c r="F11" s="9">
        <v>1516.89</v>
      </c>
    </row>
    <row r="12">
      <c r="A12" s="5">
        <v>46234.0</v>
      </c>
      <c r="B12" s="4" t="s">
        <v>31</v>
      </c>
      <c r="C12" s="21">
        <f>113.05/100</f>
        <v>1.1305</v>
      </c>
      <c r="D12" s="3" t="s">
        <v>20</v>
      </c>
      <c r="E12" s="9">
        <v>815.43</v>
      </c>
      <c r="F12" s="9">
        <v>1516.89</v>
      </c>
    </row>
    <row r="13">
      <c r="A13" s="5">
        <v>46234.0</v>
      </c>
      <c r="B13" s="25" t="s">
        <v>37</v>
      </c>
      <c r="C13" s="21">
        <v>19620.0</v>
      </c>
      <c r="D13" s="3" t="s">
        <v>20</v>
      </c>
      <c r="E13" s="9">
        <v>815.43</v>
      </c>
      <c r="F13" s="9">
        <v>1516.89</v>
      </c>
    </row>
    <row r="14">
      <c r="A14" s="5">
        <v>46234.0</v>
      </c>
      <c r="B14" s="17" t="s">
        <v>40</v>
      </c>
      <c r="C14" s="21">
        <v>27440.0</v>
      </c>
      <c r="D14" s="3" t="s">
        <v>20</v>
      </c>
      <c r="E14" s="9">
        <v>815.43</v>
      </c>
      <c r="F14" s="9">
        <v>1516.89</v>
      </c>
    </row>
    <row r="15">
      <c r="A15" s="5">
        <v>46234.0</v>
      </c>
      <c r="B15" s="17" t="s">
        <v>43</v>
      </c>
      <c r="C15" s="21">
        <v>24280.0</v>
      </c>
      <c r="D15" s="3" t="s">
        <v>20</v>
      </c>
      <c r="E15" s="9">
        <v>815.43</v>
      </c>
      <c r="F15" s="9">
        <v>1516.89</v>
      </c>
    </row>
  </sheetData>
  <drawing r:id="rId1"/>
</worksheet>
</file>