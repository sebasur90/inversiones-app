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5"/>
    <sheet state="visible" name="Tipos de Cambio" sheetId="2" r:id="rId6"/>
    <sheet state="visible" name="Instrumentos" sheetId="3" r:id="rId7"/>
    <sheet state="visible" name="Precios" sheetId="4" r:id="rId8"/>
    <sheet state="visible" name="Objetivos" sheetId="5" r:id="rId9"/>
    <sheet state="visible" name="Rebalanceo" sheetId="6" r:id="rId10"/>
    <sheet state="visible" name="Benchmarks" sheetId="7" r:id="rId11"/>
    <sheet state="visible" name="Configuracion" sheetId="8" r:id="rId12"/>
  </sheets>
  <definedNames/>
  <calcPr/>
</workbook>
</file>

<file path=xl/sharedStrings.xml><?xml version="1.0" encoding="utf-8"?>
<sst xmlns="http://schemas.openxmlformats.org/spreadsheetml/2006/main" count="315" uniqueCount="71">
  <si>
    <t>Fecha</t>
  </si>
  <si>
    <t>Tipo</t>
  </si>
  <si>
    <t>Valor</t>
  </si>
  <si>
    <t>Cartera</t>
  </si>
  <si>
    <t>Ticker</t>
  </si>
  <si>
    <t>MEP</t>
  </si>
  <si>
    <t>Tipo Movimiento</t>
  </si>
  <si>
    <t>Cantidad</t>
  </si>
  <si>
    <t>Precio</t>
  </si>
  <si>
    <t>Moneda</t>
  </si>
  <si>
    <t>CER</t>
  </si>
  <si>
    <t>Comisión</t>
  </si>
  <si>
    <t>Fondo de emergencia</t>
  </si>
  <si>
    <t>1810 Ahorros Activos</t>
  </si>
  <si>
    <t>Compra</t>
  </si>
  <si>
    <t>ARS</t>
  </si>
  <si>
    <t>Alma</t>
  </si>
  <si>
    <t>Nombre</t>
  </si>
  <si>
    <t>Tipo Instrumento</t>
  </si>
  <si>
    <t>Mercado</t>
  </si>
  <si>
    <t>S30S6</t>
  </si>
  <si>
    <t>País</t>
  </si>
  <si>
    <t>Sector</t>
  </si>
  <si>
    <t>Fecha Vencimiento</t>
  </si>
  <si>
    <t>Objetivo Modo</t>
  </si>
  <si>
    <t>Objetivo Valor</t>
  </si>
  <si>
    <t>Stop Loss Modo</t>
  </si>
  <si>
    <t>Stop Loss Valor</t>
  </si>
  <si>
    <t>XLE</t>
  </si>
  <si>
    <t>Energy Sector ETF</t>
  </si>
  <si>
    <t>CEDEAR</t>
  </si>
  <si>
    <t>Global</t>
  </si>
  <si>
    <t>AR</t>
  </si>
  <si>
    <t>Energía</t>
  </si>
  <si>
    <t/>
  </si>
  <si>
    <t>Porcentaje</t>
  </si>
  <si>
    <t>TZXD7</t>
  </si>
  <si>
    <t>Boncer 2027 (CER +0%)</t>
  </si>
  <si>
    <t>Bono</t>
  </si>
  <si>
    <t>MERVAL</t>
  </si>
  <si>
    <t>Soberano</t>
  </si>
  <si>
    <t>Setea Sep 2026 (2.53%)</t>
  </si>
  <si>
    <t>FCI Money Market</t>
  </si>
  <si>
    <t>FCI</t>
  </si>
  <si>
    <t>Jubilación (30 años)</t>
  </si>
  <si>
    <t>Liquidez</t>
  </si>
  <si>
    <t>Fecha Límite</t>
  </si>
  <si>
    <t>SYP</t>
  </si>
  <si>
    <t>Monto USD</t>
  </si>
  <si>
    <t>Indice</t>
  </si>
  <si>
    <t>Icono</t>
  </si>
  <si>
    <t>🚨</t>
  </si>
  <si>
    <t>Jubilación</t>
  </si>
  <si>
    <t>🏖️</t>
  </si>
  <si>
    <t>🏠</t>
  </si>
  <si>
    <t>KO</t>
  </si>
  <si>
    <t>Consumo Masivo</t>
  </si>
  <si>
    <t>Cosumo Masivo</t>
  </si>
  <si>
    <t>Fijo</t>
  </si>
  <si>
    <t>MSFT</t>
  </si>
  <si>
    <t>Tecnologia</t>
  </si>
  <si>
    <t>Eje</t>
  </si>
  <si>
    <t>Categoría</t>
  </si>
  <si>
    <t>Porcentaje Objetivo</t>
  </si>
  <si>
    <t>Consolidado</t>
  </si>
  <si>
    <t>Benchmark</t>
  </si>
  <si>
    <t>Rendimiento Objetivo</t>
  </si>
  <si>
    <t>Peso Máximo</t>
  </si>
  <si>
    <t>Peso Mínimo</t>
  </si>
  <si>
    <t>Tolerancia</t>
  </si>
  <si>
    <t>Preservación de Capital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</si>
</sst>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d/mm/yyyy"/>
    <numFmt numFmtId="166" formatCode="#,##0.0000"/>
    <numFmt numFmtId="167" formatCode="d/m/yyyy"/>
  </numFmts>
  <fonts count="9">
    <font>
      <sz val="10.0"/>
      <color rgb="FF000000"/>
      <name val="Arial"/>
      <scheme val="minor"/>
    </font>
    <font>
      <b/>
      <color theme="1"/>
      <name val="Cambria"/>
    </font>
    <font>
      <b/>
      <color theme="1"/>
      <name val="-apple-system"/>
    </font>
    <font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theme="1"/>
      <name val="-apple-system"/>
    </font>
    <font>
      <sz val="11.0"/>
      <color rgb="FF000000"/>
      <name val="Calibri"/>
    </font>
    <font>
      <color rgb="FF1F1F1F"/>
      <name val="Google Sans Text"/>
    </font>
  </fonts>
  <fills count="6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1" fillId="0" fontId="2" numFmtId="0" xfId="0" applyAlignment="1" applyBorder="1" applyFont="1">
      <alignment horizontal="center" readingOrder="0"/>
    </xf>
    <xf borderId="0" fillId="0" fontId="3" numFmtId="164" xfId="0" applyAlignment="1" applyFont="1" applyNumberForma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1" fillId="0" fontId="2" numFmtId="4" xfId="0" applyAlignment="1" applyBorder="1" applyFont="1" applyNumberFormat="1">
      <alignment horizontal="center" readingOrder="0"/>
    </xf>
    <xf borderId="0" fillId="0" fontId="4" numFmtId="165" xfId="0" applyAlignment="1" applyFont="1" applyNumberFormat="1">
      <alignment horizontal="right" vertical="bottom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0" fillId="0" fontId="5" numFmtId="4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1" fillId="0" fontId="4" numFmtId="4" xfId="0" applyAlignment="1" applyBorder="1" applyFont="1" applyNumberFormat="1">
      <alignment readingOrder="0"/>
    </xf>
    <xf borderId="1" fillId="0" fontId="6" numFmtId="0" xfId="0" applyAlignment="1" applyBorder="1" applyFont="1">
      <alignment horizontal="center" readingOrder="0"/>
    </xf>
    <xf borderId="0" fillId="0" fontId="7" numFmtId="0" xfId="0" applyAlignment="1" applyFont="1">
      <alignment readingOrder="0" shrinkToFit="0" vertical="bottom" wrapText="0"/>
    </xf>
    <xf borderId="0" fillId="0" fontId="4" numFmtId="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3" fontId="5" numFmtId="167" xfId="0" applyAlignment="1" applyFill="1" applyFont="1" applyNumberForma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4" numFmtId="4" xfId="0" applyAlignment="1" applyFont="1" applyNumberFormat="1">
      <alignment horizontal="right" readingOrder="0" vertical="bottom"/>
    </xf>
    <xf borderId="0" fillId="4" fontId="4" numFmtId="166" xfId="0" applyAlignment="1" applyFill="1" applyFont="1" applyNumberFormat="1">
      <alignment horizontal="right" vertical="bottom"/>
    </xf>
    <xf borderId="0" fillId="0" fontId="5" numFmtId="0" xfId="0" applyAlignment="1" applyFont="1">
      <alignment horizontal="left" vertical="bottom"/>
    </xf>
    <xf borderId="0" fillId="4" fontId="5" numFmtId="4" xfId="0" applyAlignment="1" applyFill="1" applyFont="1" applyNumberFormat="1">
      <alignment readingOrder="0"/>
    </xf>
    <xf borderId="0" fillId="0" fontId="4" numFmtId="165" xfId="0" applyAlignment="1" applyFont="1" applyNumberFormat="1">
      <alignment horizontal="right" readingOrder="0" vertical="bottom"/>
    </xf>
    <xf borderId="1" fillId="0" fontId="6" numFmtId="164" xfId="0" applyAlignment="1" applyBorder="1" applyFont="1" applyNumberFormat="1">
      <alignment readingOrder="0"/>
    </xf>
    <xf borderId="0" fillId="0" fontId="5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6" numFmtId="0" xfId="0" applyFont="1"/>
    <xf borderId="0" fillId="0" fontId="5" numFmtId="4" xfId="0" applyFont="1" applyNumberFormat="1"/>
    <xf borderId="0" fillId="4" fontId="4" numFmtId="166" xfId="0" applyAlignment="1" applyFill="1" applyFont="1" applyNumberFormat="1">
      <alignment horizontal="right" readingOrder="0" vertical="bottom"/>
    </xf>
    <xf borderId="0" fillId="0" fontId="5" numFmtId="10" xfId="0" applyFont="1" applyNumberFormat="1"/>
    <xf borderId="0" fillId="0" fontId="4" numFmtId="0" xfId="0" applyAlignment="1" applyFont="1">
      <alignment vertical="bottom"/>
    </xf>
    <xf borderId="0" fillId="5" fontId="4" numFmtId="166" xfId="0" applyAlignment="1" applyFill="1" applyFont="1" applyNumberFormat="1">
      <alignment horizontal="right" readingOrder="0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6.88"/>
  </cols>
  <sheetData>
    <row r="1">
      <c r="A1" s="2" t="s">
        <v>0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9</v>
      </c>
      <c r="H1" s="6" t="s">
        <v>11</v>
      </c>
      <c r="I1" s="6" t="s">
        <v>10</v>
      </c>
      <c r="J1" s="6" t="s">
        <v>5</v>
      </c>
    </row>
    <row r="2">
      <c r="A2" s="7">
        <v>46203.0</v>
      </c>
      <c r="B2" s="8" t="s">
        <v>12</v>
      </c>
      <c r="C2" s="9" t="s">
        <v>13</v>
      </c>
      <c r="D2" s="10" t="s">
        <v>14</v>
      </c>
      <c r="E2" s="11">
        <v>67851.0</v>
      </c>
      <c r="F2" s="12">
        <v>29.48</v>
      </c>
      <c r="G2" s="10" t="s">
        <v>15</v>
      </c>
      <c r="H2" s="13">
        <v>0.0</v>
      </c>
      <c r="I2" s="11">
        <v>799.2033</v>
      </c>
      <c r="J2" s="11">
        <v>1521.33</v>
      </c>
    </row>
    <row r="3">
      <c r="A3" s="7">
        <v>46203.0</v>
      </c>
      <c r="B3" s="8" t="s">
        <v>12</v>
      </c>
      <c r="C3" s="9" t="s">
        <v>13</v>
      </c>
      <c r="D3" s="10" t="s">
        <v>14</v>
      </c>
      <c r="E3" s="11">
        <v>101776.0</v>
      </c>
      <c r="F3" s="12">
        <v>29.48</v>
      </c>
      <c r="G3" s="10" t="s">
        <v>15</v>
      </c>
      <c r="H3" s="13">
        <v>0.0</v>
      </c>
      <c r="I3" s="11">
        <v>799.2033</v>
      </c>
      <c r="J3" s="11">
        <v>1521.33</v>
      </c>
    </row>
    <row r="4">
      <c r="A4" s="7">
        <v>46205.0</v>
      </c>
      <c r="B4" s="15" t="s">
        <v>16</v>
      </c>
      <c r="C4" s="9" t="s">
        <v>20</v>
      </c>
      <c r="D4" s="10" t="s">
        <v>14</v>
      </c>
      <c r="E4" s="16">
        <v>89846.0</v>
      </c>
      <c r="F4" s="19">
        <f t="shared" ref="F4:F6" si="1">111.3/100</f>
        <v>1.113</v>
      </c>
      <c r="G4" s="10" t="s">
        <v>15</v>
      </c>
      <c r="H4" s="20">
        <v>10.0</v>
      </c>
      <c r="I4" s="11">
        <v>800.3114</v>
      </c>
      <c r="J4" s="11">
        <v>1529.77</v>
      </c>
    </row>
    <row r="5">
      <c r="A5" s="7">
        <v>46205.0</v>
      </c>
      <c r="B5" s="15" t="s">
        <v>16</v>
      </c>
      <c r="C5" s="9" t="s">
        <v>20</v>
      </c>
      <c r="D5" s="10" t="s">
        <v>14</v>
      </c>
      <c r="E5" s="16">
        <v>449224.0</v>
      </c>
      <c r="F5" s="19">
        <f t="shared" si="1"/>
        <v>1.113</v>
      </c>
      <c r="G5" s="10" t="s">
        <v>15</v>
      </c>
      <c r="H5" s="20">
        <v>50.0</v>
      </c>
      <c r="I5" s="11">
        <v>800.3114</v>
      </c>
      <c r="J5" s="11">
        <v>1529.77</v>
      </c>
    </row>
    <row r="6">
      <c r="A6" s="7">
        <v>46205.0</v>
      </c>
      <c r="B6" s="15" t="s">
        <v>16</v>
      </c>
      <c r="C6" s="9" t="s">
        <v>20</v>
      </c>
      <c r="D6" s="10" t="s">
        <v>14</v>
      </c>
      <c r="E6" s="16">
        <v>448994.0</v>
      </c>
      <c r="F6" s="19">
        <f t="shared" si="1"/>
        <v>1.113</v>
      </c>
      <c r="G6" s="10" t="s">
        <v>15</v>
      </c>
      <c r="H6" s="20">
        <v>50.0</v>
      </c>
      <c r="I6" s="11">
        <v>800.3114</v>
      </c>
      <c r="J6" s="11">
        <v>1529.77</v>
      </c>
    </row>
    <row r="7">
      <c r="A7" s="7">
        <v>46205.0</v>
      </c>
      <c r="B7" s="15" t="s">
        <v>16</v>
      </c>
      <c r="C7" s="9" t="s">
        <v>36</v>
      </c>
      <c r="D7" s="10" t="s">
        <v>14</v>
      </c>
      <c r="E7" s="16">
        <v>187722.0</v>
      </c>
      <c r="F7" s="19">
        <f>266.35/100</f>
        <v>2.6635</v>
      </c>
      <c r="G7" s="10" t="s">
        <v>15</v>
      </c>
      <c r="H7" s="13">
        <v>50.0</v>
      </c>
      <c r="I7" s="16">
        <v>800.3114</v>
      </c>
      <c r="J7" s="16">
        <v>1529.77</v>
      </c>
    </row>
    <row r="8">
      <c r="A8" s="7">
        <v>46206.0</v>
      </c>
      <c r="B8" s="15" t="s">
        <v>16</v>
      </c>
      <c r="C8" s="9" t="s">
        <v>36</v>
      </c>
      <c r="D8" s="10" t="s">
        <v>14</v>
      </c>
      <c r="E8" s="16">
        <v>1112966.0</v>
      </c>
      <c r="F8" s="19">
        <f>266.95/100</f>
        <v>2.6695</v>
      </c>
      <c r="G8" s="10" t="s">
        <v>15</v>
      </c>
      <c r="H8" s="13">
        <v>297.0</v>
      </c>
      <c r="I8" s="16">
        <v>800.866</v>
      </c>
      <c r="J8" s="16">
        <v>1524.53</v>
      </c>
    </row>
    <row r="9">
      <c r="A9" s="24">
        <v>46234.0</v>
      </c>
      <c r="B9" s="8" t="s">
        <v>44</v>
      </c>
      <c r="C9" s="9" t="s">
        <v>28</v>
      </c>
      <c r="D9" s="10" t="s">
        <v>14</v>
      </c>
      <c r="E9" s="13">
        <v>2.0</v>
      </c>
      <c r="F9" s="13">
        <v>45400.0</v>
      </c>
      <c r="G9" s="10" t="s">
        <v>15</v>
      </c>
      <c r="H9" s="13">
        <v>45.0</v>
      </c>
      <c r="I9" s="11">
        <v>815.43</v>
      </c>
      <c r="J9" s="11">
        <v>1516.89</v>
      </c>
      <c r="M9" s="30">
        <f>F9*E9+H9</f>
        <v>90845</v>
      </c>
    </row>
    <row r="10">
      <c r="A10" s="24">
        <v>46234.0</v>
      </c>
      <c r="B10" s="15" t="s">
        <v>16</v>
      </c>
      <c r="C10" s="9" t="s">
        <v>20</v>
      </c>
      <c r="D10" s="10" t="s">
        <v>14</v>
      </c>
      <c r="E10" s="20">
        <v>458771.0</v>
      </c>
      <c r="F10" s="19">
        <f>113.3/100</f>
        <v>1.133</v>
      </c>
      <c r="G10" s="10" t="s">
        <v>15</v>
      </c>
      <c r="H10" s="20">
        <v>2729.16</v>
      </c>
      <c r="I10" s="11">
        <v>815.43</v>
      </c>
      <c r="J10" s="11">
        <v>1516.89</v>
      </c>
      <c r="M10" s="26">
        <f>M9/1519</f>
        <v>59.80579329</v>
      </c>
    </row>
    <row r="11">
      <c r="A11" s="24">
        <v>46234.0</v>
      </c>
      <c r="B11" s="8" t="s">
        <v>44</v>
      </c>
      <c r="C11" s="27" t="s">
        <v>47</v>
      </c>
      <c r="D11" s="10" t="s">
        <v>14</v>
      </c>
      <c r="E11" s="9">
        <v>50.0</v>
      </c>
      <c r="F11" s="9">
        <v>19600.0</v>
      </c>
      <c r="G11" s="10" t="s">
        <v>15</v>
      </c>
      <c r="H11" s="9">
        <v>5586.0</v>
      </c>
      <c r="I11" s="11">
        <v>815.43</v>
      </c>
      <c r="J11" s="11">
        <v>1516.89</v>
      </c>
    </row>
    <row r="12">
      <c r="A12" s="24">
        <v>46234.0</v>
      </c>
      <c r="B12" s="8" t="s">
        <v>44</v>
      </c>
      <c r="C12" s="27" t="s">
        <v>55</v>
      </c>
      <c r="D12" s="10" t="s">
        <v>14</v>
      </c>
      <c r="E12" s="9">
        <v>17.0</v>
      </c>
      <c r="F12" s="9">
        <v>27660.0</v>
      </c>
      <c r="G12" s="10" t="s">
        <v>15</v>
      </c>
      <c r="H12" s="9">
        <v>2680.25</v>
      </c>
      <c r="I12" s="11">
        <v>815.43</v>
      </c>
      <c r="J12" s="11">
        <v>1516.89</v>
      </c>
    </row>
    <row r="13">
      <c r="A13" s="24">
        <v>46234.0</v>
      </c>
      <c r="B13" s="8" t="s">
        <v>44</v>
      </c>
      <c r="C13" s="27" t="s">
        <v>59</v>
      </c>
      <c r="D13" s="10" t="s">
        <v>14</v>
      </c>
      <c r="E13" s="9">
        <v>20.0</v>
      </c>
      <c r="F13" s="9">
        <v>23940.0</v>
      </c>
      <c r="G13" s="10" t="s">
        <v>15</v>
      </c>
      <c r="H13" s="9">
        <v>2729.16</v>
      </c>
      <c r="I13" s="11">
        <v>815.43</v>
      </c>
      <c r="J13" s="11">
        <v>1516.89</v>
      </c>
    </row>
    <row r="14">
      <c r="A14" s="24"/>
      <c r="B14" s="8"/>
      <c r="C14" s="27"/>
      <c r="D14" s="8"/>
      <c r="G14" s="10"/>
      <c r="I14" s="11"/>
      <c r="J14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3">
        <v>46071.0</v>
      </c>
      <c r="B2" s="4" t="s">
        <v>5</v>
      </c>
      <c r="C2" s="5">
        <v>818.0</v>
      </c>
    </row>
    <row r="3">
      <c r="A3" s="3">
        <v>46071.0</v>
      </c>
      <c r="B3" s="4" t="s">
        <v>10</v>
      </c>
      <c r="C3" s="5">
        <v>103.6</v>
      </c>
    </row>
    <row r="4">
      <c r="A4" s="3">
        <v>46101.0</v>
      </c>
      <c r="B4" s="4" t="s">
        <v>5</v>
      </c>
      <c r="C4" s="5">
        <v>815.0</v>
      </c>
    </row>
    <row r="5">
      <c r="A5" s="3">
        <v>46101.0</v>
      </c>
      <c r="B5" s="4" t="s">
        <v>10</v>
      </c>
      <c r="C5" s="5">
        <v>103.0</v>
      </c>
    </row>
    <row r="6">
      <c r="A6" s="3">
        <v>46131.0</v>
      </c>
      <c r="B6" s="4" t="s">
        <v>5</v>
      </c>
      <c r="C6" s="5">
        <v>812.0</v>
      </c>
    </row>
    <row r="7">
      <c r="A7" s="3">
        <v>46131.0</v>
      </c>
      <c r="B7" s="4" t="s">
        <v>10</v>
      </c>
      <c r="C7" s="5">
        <v>102.4</v>
      </c>
    </row>
    <row r="8">
      <c r="A8" s="3">
        <v>46161.0</v>
      </c>
      <c r="B8" s="4" t="s">
        <v>5</v>
      </c>
      <c r="C8" s="5">
        <v>809.0</v>
      </c>
    </row>
    <row r="9">
      <c r="A9" s="3">
        <v>46161.0</v>
      </c>
      <c r="B9" s="4" t="s">
        <v>10</v>
      </c>
      <c r="C9" s="5">
        <v>101.8</v>
      </c>
    </row>
    <row r="10">
      <c r="A10" s="3">
        <v>46191.0</v>
      </c>
      <c r="B10" s="4" t="s">
        <v>5</v>
      </c>
      <c r="C10" s="5">
        <v>806.0</v>
      </c>
    </row>
    <row r="11">
      <c r="A11" s="3">
        <v>46191.0</v>
      </c>
      <c r="B11" s="4" t="s">
        <v>10</v>
      </c>
      <c r="C11" s="5">
        <v>101.2</v>
      </c>
    </row>
    <row r="12">
      <c r="A12" s="3">
        <v>46221.0</v>
      </c>
      <c r="B12" s="4" t="s">
        <v>5</v>
      </c>
      <c r="C12" s="5">
        <v>803.0</v>
      </c>
    </row>
    <row r="13">
      <c r="A13" s="3">
        <v>46221.0</v>
      </c>
      <c r="B13" s="4" t="s">
        <v>10</v>
      </c>
      <c r="C13" s="5">
        <v>100.6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8" max="8" width="15.13"/>
  </cols>
  <sheetData>
    <row r="1">
      <c r="A1" s="14" t="s">
        <v>4</v>
      </c>
      <c r="B1" s="14" t="s">
        <v>17</v>
      </c>
      <c r="C1" s="14" t="s">
        <v>18</v>
      </c>
      <c r="D1" s="14" t="s">
        <v>19</v>
      </c>
      <c r="E1" s="14" t="s">
        <v>9</v>
      </c>
      <c r="F1" s="14" t="s">
        <v>21</v>
      </c>
      <c r="G1" s="14" t="s">
        <v>22</v>
      </c>
      <c r="H1" s="14" t="s">
        <v>23</v>
      </c>
      <c r="I1" s="4" t="s">
        <v>24</v>
      </c>
      <c r="J1" s="4" t="s">
        <v>25</v>
      </c>
      <c r="K1" s="4" t="s">
        <v>26</v>
      </c>
      <c r="L1" s="4" t="s">
        <v>27</v>
      </c>
    </row>
    <row r="2">
      <c r="A2" s="17" t="s">
        <v>28</v>
      </c>
      <c r="B2" s="9" t="s">
        <v>29</v>
      </c>
      <c r="C2" s="9" t="s">
        <v>30</v>
      </c>
      <c r="D2" s="10" t="s">
        <v>31</v>
      </c>
      <c r="E2" s="10" t="s">
        <v>15</v>
      </c>
      <c r="F2" s="10" t="s">
        <v>32</v>
      </c>
      <c r="G2" s="10" t="s">
        <v>33</v>
      </c>
      <c r="H2" s="10" t="s">
        <v>34</v>
      </c>
      <c r="I2" s="4" t="s">
        <v>35</v>
      </c>
      <c r="J2" s="5">
        <v>20.0</v>
      </c>
      <c r="K2" s="22"/>
      <c r="L2" s="22"/>
    </row>
    <row r="3">
      <c r="A3" s="17" t="s">
        <v>36</v>
      </c>
      <c r="B3" s="9" t="s">
        <v>37</v>
      </c>
      <c r="C3" s="9" t="s">
        <v>38</v>
      </c>
      <c r="D3" s="10" t="s">
        <v>39</v>
      </c>
      <c r="E3" s="10" t="s">
        <v>15</v>
      </c>
      <c r="F3" s="10" t="s">
        <v>32</v>
      </c>
      <c r="G3" s="10" t="s">
        <v>40</v>
      </c>
      <c r="H3" s="10" t="s">
        <v>34</v>
      </c>
      <c r="I3" s="22"/>
      <c r="J3" s="22"/>
      <c r="K3" s="22"/>
      <c r="L3" s="22"/>
    </row>
    <row r="4">
      <c r="A4" s="17" t="s">
        <v>20</v>
      </c>
      <c r="B4" s="9" t="s">
        <v>41</v>
      </c>
      <c r="C4" s="9" t="s">
        <v>38</v>
      </c>
      <c r="D4" s="10" t="s">
        <v>39</v>
      </c>
      <c r="E4" s="10" t="s">
        <v>15</v>
      </c>
      <c r="F4" s="10" t="s">
        <v>32</v>
      </c>
      <c r="G4" s="10" t="s">
        <v>40</v>
      </c>
      <c r="H4" s="10" t="s">
        <v>34</v>
      </c>
      <c r="I4" s="22"/>
      <c r="J4" s="22"/>
      <c r="K4" s="22"/>
      <c r="L4" s="22"/>
    </row>
    <row r="5">
      <c r="A5" s="17" t="s">
        <v>13</v>
      </c>
      <c r="B5" s="9" t="s">
        <v>42</v>
      </c>
      <c r="C5" s="9" t="s">
        <v>43</v>
      </c>
      <c r="D5" s="10" t="s">
        <v>39</v>
      </c>
      <c r="E5" s="10" t="s">
        <v>15</v>
      </c>
      <c r="F5" s="10" t="s">
        <v>32</v>
      </c>
      <c r="G5" s="10" t="s">
        <v>45</v>
      </c>
      <c r="H5" s="25"/>
      <c r="I5" s="22"/>
      <c r="J5" s="22"/>
      <c r="K5" s="22"/>
      <c r="L5" s="22"/>
    </row>
    <row r="6">
      <c r="A6" s="27" t="s">
        <v>47</v>
      </c>
      <c r="B6" s="28" t="s">
        <v>49</v>
      </c>
      <c r="C6" s="28" t="s">
        <v>30</v>
      </c>
      <c r="D6" s="10" t="s">
        <v>31</v>
      </c>
      <c r="E6" s="10" t="s">
        <v>15</v>
      </c>
      <c r="F6" s="10" t="s">
        <v>32</v>
      </c>
      <c r="G6" s="28" t="s">
        <v>49</v>
      </c>
      <c r="H6" s="29"/>
      <c r="I6" s="22"/>
      <c r="J6" s="22"/>
      <c r="K6" s="22"/>
      <c r="L6" s="22"/>
    </row>
    <row r="7">
      <c r="A7" s="27" t="s">
        <v>55</v>
      </c>
      <c r="B7" s="9" t="s">
        <v>56</v>
      </c>
      <c r="C7" s="28" t="s">
        <v>30</v>
      </c>
      <c r="D7" s="10" t="s">
        <v>31</v>
      </c>
      <c r="E7" s="10" t="s">
        <v>15</v>
      </c>
      <c r="F7" s="10" t="s">
        <v>32</v>
      </c>
      <c r="G7" s="9" t="s">
        <v>57</v>
      </c>
      <c r="I7" s="22"/>
      <c r="J7" s="22"/>
      <c r="K7" s="4" t="s">
        <v>58</v>
      </c>
      <c r="L7" s="5">
        <v>25000.0</v>
      </c>
    </row>
    <row r="8">
      <c r="A8" s="27" t="s">
        <v>59</v>
      </c>
      <c r="B8" s="9" t="s">
        <v>60</v>
      </c>
      <c r="C8" s="28" t="s">
        <v>30</v>
      </c>
      <c r="D8" s="10" t="s">
        <v>31</v>
      </c>
      <c r="E8" s="10" t="s">
        <v>15</v>
      </c>
      <c r="F8" s="10" t="s">
        <v>32</v>
      </c>
      <c r="G8" s="9" t="s">
        <v>60</v>
      </c>
      <c r="I8" s="4" t="s">
        <v>35</v>
      </c>
      <c r="J8" s="5">
        <v>15.0</v>
      </c>
      <c r="K8" s="4" t="s">
        <v>35</v>
      </c>
      <c r="L8" s="5">
        <v>-10.0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4</v>
      </c>
      <c r="C1" s="9" t="s">
        <v>8</v>
      </c>
      <c r="D1" s="9" t="s">
        <v>9</v>
      </c>
      <c r="E1" s="9" t="s">
        <v>10</v>
      </c>
      <c r="F1" s="9" t="s">
        <v>5</v>
      </c>
    </row>
    <row r="2">
      <c r="A2" s="18">
        <v>46227.0</v>
      </c>
      <c r="B2" s="17" t="s">
        <v>28</v>
      </c>
      <c r="C2" s="21">
        <v>47620.0</v>
      </c>
      <c r="D2" s="9" t="s">
        <v>15</v>
      </c>
      <c r="E2" s="23">
        <v>811.9762</v>
      </c>
      <c r="F2" s="23">
        <v>1530.38</v>
      </c>
      <c r="H2" s="26">
        <f>C2*2</f>
        <v>95240</v>
      </c>
    </row>
    <row r="3">
      <c r="A3" s="18">
        <v>46227.0</v>
      </c>
      <c r="B3" s="17" t="s">
        <v>36</v>
      </c>
      <c r="C3" s="21">
        <f>271.05/100</f>
        <v>2.7105</v>
      </c>
      <c r="D3" s="9" t="s">
        <v>15</v>
      </c>
      <c r="E3" s="23">
        <v>811.9762</v>
      </c>
      <c r="F3" s="23">
        <v>1530.38</v>
      </c>
      <c r="H3" s="26">
        <f>H2/1530.38</f>
        <v>62.23290947</v>
      </c>
    </row>
    <row r="4">
      <c r="A4" s="18">
        <v>46227.0</v>
      </c>
      <c r="B4" s="17" t="s">
        <v>20</v>
      </c>
      <c r="C4" s="21">
        <f>112.83/100</f>
        <v>1.1283</v>
      </c>
      <c r="D4" s="9" t="s">
        <v>15</v>
      </c>
      <c r="E4" s="23">
        <v>811.9762</v>
      </c>
      <c r="F4" s="23">
        <v>1530.38</v>
      </c>
    </row>
    <row r="5">
      <c r="A5" s="18">
        <v>46227.0</v>
      </c>
      <c r="B5" s="17" t="s">
        <v>13</v>
      </c>
      <c r="C5" s="21">
        <v>30.01</v>
      </c>
      <c r="D5" s="9" t="s">
        <v>15</v>
      </c>
      <c r="E5" s="23">
        <v>811.9762</v>
      </c>
      <c r="F5" s="23">
        <v>1530.38</v>
      </c>
    </row>
    <row r="6">
      <c r="A6" s="18">
        <v>46230.0</v>
      </c>
      <c r="B6" s="17" t="s">
        <v>28</v>
      </c>
      <c r="C6" s="31">
        <v>46880.0</v>
      </c>
      <c r="D6" s="9" t="s">
        <v>15</v>
      </c>
      <c r="E6" s="23">
        <v>813.4565</v>
      </c>
      <c r="F6" s="23">
        <v>1532.78</v>
      </c>
      <c r="H6" s="32">
        <f>(62.2329/59.80579329)-1</f>
        <v>0.04058313713</v>
      </c>
    </row>
    <row r="7">
      <c r="A7" s="18">
        <v>46230.0</v>
      </c>
      <c r="B7" s="17" t="s">
        <v>36</v>
      </c>
      <c r="C7" s="21">
        <f>271.35/100</f>
        <v>2.7135</v>
      </c>
      <c r="D7" s="9" t="s">
        <v>15</v>
      </c>
      <c r="E7" s="23">
        <v>813.4565</v>
      </c>
      <c r="F7" s="23">
        <v>1532.78</v>
      </c>
    </row>
    <row r="8">
      <c r="A8" s="18">
        <v>46230.0</v>
      </c>
      <c r="B8" s="17" t="s">
        <v>20</v>
      </c>
      <c r="C8" s="21">
        <f>112.909/100</f>
        <v>1.12909</v>
      </c>
      <c r="D8" s="9" t="s">
        <v>15</v>
      </c>
      <c r="E8" s="23">
        <v>813.4565</v>
      </c>
      <c r="F8" s="23">
        <v>1532.78</v>
      </c>
    </row>
    <row r="9">
      <c r="A9" s="18">
        <v>46230.0</v>
      </c>
      <c r="B9" s="17" t="s">
        <v>13</v>
      </c>
      <c r="C9" s="31">
        <v>30.084208</v>
      </c>
      <c r="D9" s="9" t="s">
        <v>15</v>
      </c>
      <c r="E9" s="23">
        <v>813.4565</v>
      </c>
      <c r="F9" s="23">
        <v>1532.78</v>
      </c>
    </row>
    <row r="10">
      <c r="A10" s="18">
        <v>46234.0</v>
      </c>
      <c r="B10" s="17" t="s">
        <v>28</v>
      </c>
      <c r="C10" s="31">
        <v>46600.0</v>
      </c>
      <c r="D10" s="9" t="s">
        <v>15</v>
      </c>
      <c r="E10" s="23">
        <v>815.43</v>
      </c>
      <c r="F10" s="23">
        <v>1516.89</v>
      </c>
    </row>
    <row r="11">
      <c r="A11" s="18">
        <v>46234.0</v>
      </c>
      <c r="B11" s="17" t="s">
        <v>36</v>
      </c>
      <c r="C11" s="31">
        <f>271/100</f>
        <v>2.71</v>
      </c>
      <c r="D11" s="9" t="s">
        <v>15</v>
      </c>
      <c r="E11" s="23">
        <v>815.43</v>
      </c>
      <c r="F11" s="23">
        <v>1516.89</v>
      </c>
    </row>
    <row r="12">
      <c r="A12" s="18">
        <v>46234.0</v>
      </c>
      <c r="B12" s="17" t="s">
        <v>20</v>
      </c>
      <c r="C12" s="31">
        <f>113.05/100</f>
        <v>1.1305</v>
      </c>
      <c r="D12" s="9" t="s">
        <v>15</v>
      </c>
      <c r="E12" s="23">
        <v>815.43</v>
      </c>
      <c r="F12" s="23">
        <v>1516.89</v>
      </c>
    </row>
    <row r="13">
      <c r="A13" s="18">
        <v>46234.0</v>
      </c>
      <c r="B13" s="33" t="s">
        <v>47</v>
      </c>
      <c r="C13" s="31">
        <v>19620.0</v>
      </c>
      <c r="D13" s="9" t="s">
        <v>15</v>
      </c>
      <c r="E13" s="23">
        <v>815.43</v>
      </c>
      <c r="F13" s="23">
        <v>1516.89</v>
      </c>
    </row>
    <row r="14">
      <c r="A14" s="18">
        <v>46234.0</v>
      </c>
      <c r="B14" s="27" t="s">
        <v>55</v>
      </c>
      <c r="C14" s="31">
        <v>27440.0</v>
      </c>
      <c r="D14" s="9" t="s">
        <v>15</v>
      </c>
      <c r="E14" s="23">
        <v>815.43</v>
      </c>
      <c r="F14" s="23">
        <v>1516.89</v>
      </c>
    </row>
    <row r="15">
      <c r="A15" s="18">
        <v>46234.0</v>
      </c>
      <c r="B15" s="27" t="s">
        <v>59</v>
      </c>
      <c r="C15" s="31">
        <v>24280.0</v>
      </c>
      <c r="D15" s="9" t="s">
        <v>15</v>
      </c>
      <c r="E15" s="23">
        <v>815.43</v>
      </c>
      <c r="F15" s="23">
        <v>1516.89</v>
      </c>
    </row>
    <row r="16">
      <c r="A16" s="18">
        <v>46237.0</v>
      </c>
      <c r="B16" s="17" t="s">
        <v>13</v>
      </c>
      <c r="C16" s="34">
        <v>30.084208</v>
      </c>
      <c r="D16" s="9" t="s">
        <v>15</v>
      </c>
      <c r="E16" s="23">
        <v>816.9211</v>
      </c>
      <c r="F16" s="23">
        <v>1519.02</v>
      </c>
    </row>
    <row r="17">
      <c r="A17" s="18">
        <v>46237.0</v>
      </c>
      <c r="B17" s="17" t="s">
        <v>28</v>
      </c>
      <c r="C17" s="31">
        <v>46420.0</v>
      </c>
      <c r="D17" s="9" t="s">
        <v>15</v>
      </c>
      <c r="E17" s="23">
        <v>816.9211</v>
      </c>
      <c r="F17" s="23">
        <v>1519.02</v>
      </c>
    </row>
    <row r="18">
      <c r="A18" s="18">
        <v>46237.0</v>
      </c>
      <c r="B18" s="17" t="s">
        <v>36</v>
      </c>
      <c r="C18" s="31">
        <f>271.95/100</f>
        <v>2.7195</v>
      </c>
      <c r="D18" s="9" t="s">
        <v>15</v>
      </c>
      <c r="E18" s="23">
        <v>816.9211</v>
      </c>
      <c r="F18" s="23">
        <v>1519.02</v>
      </c>
    </row>
    <row r="19">
      <c r="A19" s="18">
        <v>46237.0</v>
      </c>
      <c r="B19" s="17" t="s">
        <v>20</v>
      </c>
      <c r="C19" s="31">
        <f>113.29/100</f>
        <v>1.1329</v>
      </c>
      <c r="D19" s="9" t="s">
        <v>15</v>
      </c>
      <c r="E19" s="23">
        <v>816.9211</v>
      </c>
      <c r="F19" s="23">
        <v>1519.02</v>
      </c>
    </row>
    <row r="20">
      <c r="A20" s="18">
        <v>46237.0</v>
      </c>
      <c r="B20" s="33" t="s">
        <v>47</v>
      </c>
      <c r="C20" s="31">
        <v>19840.0</v>
      </c>
      <c r="D20" s="9" t="s">
        <v>15</v>
      </c>
      <c r="E20" s="23">
        <v>816.9211</v>
      </c>
      <c r="F20" s="23">
        <v>1519.02</v>
      </c>
    </row>
    <row r="21">
      <c r="A21" s="18">
        <v>46237.0</v>
      </c>
      <c r="B21" s="27" t="s">
        <v>55</v>
      </c>
      <c r="C21" s="31">
        <v>27480.0</v>
      </c>
      <c r="D21" s="9" t="s">
        <v>15</v>
      </c>
      <c r="E21" s="23">
        <v>816.9211</v>
      </c>
      <c r="F21" s="23">
        <v>1519.02</v>
      </c>
    </row>
    <row r="22">
      <c r="A22" s="18">
        <v>46237.0</v>
      </c>
      <c r="B22" s="27" t="s">
        <v>59</v>
      </c>
      <c r="C22" s="31">
        <v>25420.0</v>
      </c>
      <c r="D22" s="9" t="s">
        <v>15</v>
      </c>
      <c r="E22" s="23">
        <v>816.9211</v>
      </c>
      <c r="F22" s="23">
        <v>1519.02</v>
      </c>
    </row>
    <row r="23">
      <c r="A23" s="18">
        <v>46241.0</v>
      </c>
      <c r="B23" s="17" t="s">
        <v>13</v>
      </c>
      <c r="C23" s="34">
        <v>29.93799</v>
      </c>
      <c r="D23" s="9" t="s">
        <v>15</v>
      </c>
      <c r="E23" s="23">
        <v>818.9075</v>
      </c>
      <c r="F23" s="23">
        <v>1524.93</v>
      </c>
    </row>
    <row r="24">
      <c r="A24" s="18">
        <v>46241.0</v>
      </c>
      <c r="B24" s="17" t="s">
        <v>28</v>
      </c>
      <c r="C24" s="31">
        <v>45400.0</v>
      </c>
      <c r="D24" s="9" t="s">
        <v>15</v>
      </c>
      <c r="E24" s="23">
        <v>818.9075</v>
      </c>
      <c r="F24" s="23">
        <v>1524.93</v>
      </c>
    </row>
    <row r="25">
      <c r="A25" s="18">
        <v>46241.0</v>
      </c>
      <c r="B25" s="17" t="s">
        <v>36</v>
      </c>
      <c r="C25" s="31">
        <f>269.3/100</f>
        <v>2.693</v>
      </c>
      <c r="D25" s="9" t="s">
        <v>15</v>
      </c>
      <c r="E25" s="23">
        <v>818.9075</v>
      </c>
      <c r="F25" s="23">
        <v>1524.93</v>
      </c>
    </row>
    <row r="26">
      <c r="A26" s="18">
        <v>46241.0</v>
      </c>
      <c r="B26" s="17" t="s">
        <v>20</v>
      </c>
      <c r="C26" s="31">
        <f>113.642/100</f>
        <v>1.13642</v>
      </c>
      <c r="D26" s="9" t="s">
        <v>15</v>
      </c>
      <c r="E26" s="23">
        <v>818.9075</v>
      </c>
      <c r="F26" s="23">
        <v>1524.93</v>
      </c>
    </row>
    <row r="27">
      <c r="A27" s="18">
        <v>46241.0</v>
      </c>
      <c r="B27" s="33" t="s">
        <v>47</v>
      </c>
      <c r="C27" s="31">
        <v>20330.0</v>
      </c>
      <c r="D27" s="9" t="s">
        <v>15</v>
      </c>
      <c r="E27" s="23">
        <v>818.9075</v>
      </c>
      <c r="F27" s="23">
        <v>1524.93</v>
      </c>
      <c r="K27" s="9">
        <v>820.4005</v>
      </c>
    </row>
    <row r="28">
      <c r="A28" s="18">
        <v>46241.0</v>
      </c>
      <c r="B28" s="27" t="s">
        <v>55</v>
      </c>
      <c r="C28" s="31">
        <v>27500.0</v>
      </c>
      <c r="D28" s="9" t="s">
        <v>15</v>
      </c>
      <c r="E28" s="23">
        <v>818.9075</v>
      </c>
      <c r="F28" s="23">
        <v>1524.93</v>
      </c>
    </row>
    <row r="29">
      <c r="A29" s="18">
        <v>46241.0</v>
      </c>
      <c r="B29" s="27" t="s">
        <v>59</v>
      </c>
      <c r="C29" s="31">
        <v>26380.0</v>
      </c>
      <c r="D29" s="9" t="s">
        <v>15</v>
      </c>
      <c r="E29" s="23">
        <v>818.9075</v>
      </c>
      <c r="F29" s="23">
        <v>1524.93</v>
      </c>
    </row>
    <row r="30">
      <c r="A30" s="18">
        <v>46244.0</v>
      </c>
      <c r="B30" s="17" t="s">
        <v>13</v>
      </c>
      <c r="C30" s="34">
        <v>30.066898</v>
      </c>
      <c r="D30" s="9" t="s">
        <v>15</v>
      </c>
      <c r="E30" s="23">
        <v>820.4005</v>
      </c>
      <c r="F30" s="23">
        <v>1524.82</v>
      </c>
    </row>
    <row r="31">
      <c r="A31" s="18">
        <v>46244.0</v>
      </c>
      <c r="B31" s="17" t="s">
        <v>28</v>
      </c>
      <c r="C31" s="31">
        <v>46900.0</v>
      </c>
      <c r="D31" s="9" t="s">
        <v>15</v>
      </c>
      <c r="E31" s="23">
        <v>820.4005</v>
      </c>
      <c r="F31" s="23">
        <v>1524.82</v>
      </c>
    </row>
    <row r="32">
      <c r="A32" s="18">
        <v>46244.0</v>
      </c>
      <c r="B32" s="17" t="s">
        <v>36</v>
      </c>
      <c r="C32" s="31">
        <f>271.7/100</f>
        <v>2.717</v>
      </c>
      <c r="D32" s="9" t="s">
        <v>15</v>
      </c>
      <c r="E32" s="23">
        <v>820.4005</v>
      </c>
      <c r="F32" s="23">
        <v>1524.82</v>
      </c>
    </row>
    <row r="33">
      <c r="A33" s="18">
        <v>46244.0</v>
      </c>
      <c r="B33" s="17" t="s">
        <v>20</v>
      </c>
      <c r="C33" s="31">
        <f>113.65/100</f>
        <v>1.1365</v>
      </c>
      <c r="D33" s="9" t="s">
        <v>15</v>
      </c>
      <c r="E33" s="23">
        <v>820.4005</v>
      </c>
      <c r="F33" s="23">
        <v>1524.82</v>
      </c>
      <c r="I33" s="11"/>
    </row>
    <row r="34">
      <c r="A34" s="18">
        <v>46244.0</v>
      </c>
      <c r="B34" s="33" t="s">
        <v>47</v>
      </c>
      <c r="C34" s="31">
        <v>20440.0</v>
      </c>
      <c r="D34" s="9" t="s">
        <v>15</v>
      </c>
      <c r="E34" s="23">
        <v>820.4005</v>
      </c>
      <c r="F34" s="23">
        <v>1524.82</v>
      </c>
    </row>
    <row r="35">
      <c r="A35" s="18">
        <v>46244.0</v>
      </c>
      <c r="B35" s="27" t="s">
        <v>55</v>
      </c>
      <c r="C35" s="31">
        <v>27680.0</v>
      </c>
      <c r="D35" s="9" t="s">
        <v>15</v>
      </c>
      <c r="E35" s="23">
        <v>820.4005</v>
      </c>
      <c r="F35" s="23">
        <v>1524.82</v>
      </c>
    </row>
    <row r="36">
      <c r="A36" s="18">
        <v>46244.0</v>
      </c>
      <c r="B36" s="27" t="s">
        <v>59</v>
      </c>
      <c r="C36" s="31">
        <v>26800.0</v>
      </c>
      <c r="D36" s="9" t="s">
        <v>15</v>
      </c>
      <c r="E36" s="23">
        <v>820.4005</v>
      </c>
      <c r="F36" s="23">
        <v>1524.82</v>
      </c>
    </row>
    <row r="37">
      <c r="A37" s="18">
        <v>46252.0</v>
      </c>
      <c r="B37" s="17" t="s">
        <v>13</v>
      </c>
      <c r="C37" s="34">
        <v>30.254142</v>
      </c>
      <c r="D37" s="9" t="s">
        <v>15</v>
      </c>
      <c r="E37" s="23">
        <v>824.5515</v>
      </c>
      <c r="F37" s="23">
        <v>1518.79</v>
      </c>
    </row>
    <row r="38">
      <c r="A38" s="18">
        <v>46252.0</v>
      </c>
      <c r="B38" s="17" t="s">
        <v>28</v>
      </c>
      <c r="C38" s="31">
        <v>50075.0</v>
      </c>
      <c r="D38" s="9" t="s">
        <v>15</v>
      </c>
      <c r="E38" s="23">
        <v>824.5515</v>
      </c>
      <c r="F38" s="23">
        <v>1518.79</v>
      </c>
    </row>
    <row r="39">
      <c r="A39" s="18">
        <v>46252.0</v>
      </c>
      <c r="B39" s="17" t="s">
        <v>36</v>
      </c>
      <c r="C39" s="31">
        <f>273.5/100</f>
        <v>2.735</v>
      </c>
      <c r="D39" s="9" t="s">
        <v>15</v>
      </c>
      <c r="E39" s="23">
        <v>824.5515</v>
      </c>
      <c r="F39" s="23">
        <v>1518.79</v>
      </c>
    </row>
    <row r="40">
      <c r="A40" s="18">
        <v>46252.0</v>
      </c>
      <c r="B40" s="17" t="s">
        <v>20</v>
      </c>
      <c r="C40" s="31">
        <f>114.15/100</f>
        <v>1.1415</v>
      </c>
      <c r="D40" s="9" t="s">
        <v>15</v>
      </c>
      <c r="E40" s="23">
        <v>824.5515</v>
      </c>
      <c r="F40" s="23">
        <v>1518.79</v>
      </c>
    </row>
    <row r="41">
      <c r="A41" s="18">
        <v>46252.0</v>
      </c>
      <c r="B41" s="33" t="s">
        <v>47</v>
      </c>
      <c r="C41" s="31">
        <v>20240.0</v>
      </c>
      <c r="D41" s="9" t="s">
        <v>15</v>
      </c>
      <c r="E41" s="23">
        <v>824.5515</v>
      </c>
      <c r="F41" s="23">
        <v>1518.79</v>
      </c>
    </row>
    <row r="42">
      <c r="A42" s="18">
        <v>46252.0</v>
      </c>
      <c r="B42" s="27" t="s">
        <v>55</v>
      </c>
      <c r="C42" s="31">
        <v>27960.0</v>
      </c>
      <c r="D42" s="9" t="s">
        <v>15</v>
      </c>
      <c r="E42" s="23">
        <v>824.5515</v>
      </c>
      <c r="F42" s="23">
        <v>1518.79</v>
      </c>
    </row>
    <row r="43">
      <c r="A43" s="18">
        <v>46252.0</v>
      </c>
      <c r="B43" s="27" t="s">
        <v>59</v>
      </c>
      <c r="C43" s="31">
        <v>25300.0</v>
      </c>
      <c r="D43" s="9" t="s">
        <v>15</v>
      </c>
      <c r="E43" s="23">
        <v>824.5515</v>
      </c>
      <c r="F43" s="23">
        <v>1518.79</v>
      </c>
    </row>
    <row r="44">
      <c r="A44" s="18">
        <v>46258.0</v>
      </c>
      <c r="B44" s="17" t="s">
        <v>13</v>
      </c>
      <c r="C44" s="34">
        <v>30.12976</v>
      </c>
      <c r="D44" s="9" t="s">
        <v>15</v>
      </c>
      <c r="E44" s="23">
        <v>827.8749</v>
      </c>
      <c r="F44" s="23">
        <v>1542.82</v>
      </c>
    </row>
    <row r="45">
      <c r="A45" s="18">
        <v>46258.0</v>
      </c>
      <c r="B45" s="17" t="s">
        <v>28</v>
      </c>
      <c r="C45" s="31">
        <v>50700.0</v>
      </c>
      <c r="D45" s="9" t="s">
        <v>15</v>
      </c>
      <c r="E45" s="23">
        <v>827.8749</v>
      </c>
      <c r="F45" s="23">
        <v>1542.82</v>
      </c>
    </row>
    <row r="46">
      <c r="A46" s="18">
        <v>46258.0</v>
      </c>
      <c r="B46" s="17" t="s">
        <v>36</v>
      </c>
      <c r="C46" s="31">
        <f>273.3/100</f>
        <v>2.733</v>
      </c>
      <c r="D46" s="9" t="s">
        <v>15</v>
      </c>
      <c r="E46" s="23">
        <v>827.8749</v>
      </c>
      <c r="F46" s="23">
        <v>1542.82</v>
      </c>
    </row>
    <row r="47">
      <c r="A47" s="18">
        <v>46258.0</v>
      </c>
      <c r="B47" s="17" t="s">
        <v>20</v>
      </c>
      <c r="C47" s="31">
        <f>114.77/100</f>
        <v>1.1477</v>
      </c>
      <c r="D47" s="9" t="s">
        <v>15</v>
      </c>
      <c r="E47" s="23">
        <v>827.8749</v>
      </c>
      <c r="F47" s="23">
        <v>1542.82</v>
      </c>
    </row>
    <row r="48">
      <c r="A48" s="18">
        <v>46258.0</v>
      </c>
      <c r="B48" s="33" t="s">
        <v>47</v>
      </c>
      <c r="C48" s="31">
        <v>20380.0</v>
      </c>
      <c r="D48" s="9" t="s">
        <v>15</v>
      </c>
      <c r="E48" s="23">
        <v>827.8749</v>
      </c>
      <c r="F48" s="23">
        <v>1542.82</v>
      </c>
    </row>
    <row r="49">
      <c r="A49" s="18">
        <v>46258.0</v>
      </c>
      <c r="B49" s="27" t="s">
        <v>55</v>
      </c>
      <c r="C49" s="31">
        <v>29520.0</v>
      </c>
      <c r="D49" s="9" t="s">
        <v>15</v>
      </c>
      <c r="E49" s="23">
        <v>827.8749</v>
      </c>
      <c r="F49" s="23">
        <v>1542.82</v>
      </c>
    </row>
    <row r="50">
      <c r="A50" s="18">
        <v>46258.0</v>
      </c>
      <c r="B50" s="27" t="s">
        <v>59</v>
      </c>
      <c r="C50" s="31">
        <v>25940.0</v>
      </c>
      <c r="D50" s="9" t="s">
        <v>15</v>
      </c>
      <c r="E50" s="23">
        <v>827.8749</v>
      </c>
      <c r="F50" s="23">
        <v>1542.82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4" t="s">
        <v>3</v>
      </c>
      <c r="B1" s="4" t="s">
        <v>17</v>
      </c>
      <c r="C1" s="4" t="s">
        <v>46</v>
      </c>
      <c r="D1" s="4" t="s">
        <v>48</v>
      </c>
      <c r="E1" s="4" t="s">
        <v>50</v>
      </c>
    </row>
    <row r="2">
      <c r="A2" s="4" t="s">
        <v>12</v>
      </c>
      <c r="B2" s="4" t="s">
        <v>12</v>
      </c>
      <c r="C2" s="3">
        <v>46357.0</v>
      </c>
      <c r="D2" s="5">
        <v>5000.0</v>
      </c>
      <c r="E2" s="4" t="s">
        <v>51</v>
      </c>
    </row>
    <row r="3">
      <c r="A3" s="4" t="s">
        <v>44</v>
      </c>
      <c r="B3" s="4" t="s">
        <v>52</v>
      </c>
      <c r="C3" s="3">
        <v>56980.0</v>
      </c>
      <c r="D3" s="5">
        <v>250000.0</v>
      </c>
      <c r="E3" s="4" t="s">
        <v>53</v>
      </c>
    </row>
    <row r="4">
      <c r="A4" s="4" t="s">
        <v>16</v>
      </c>
      <c r="B4" s="4" t="s">
        <v>16</v>
      </c>
      <c r="C4" s="3">
        <v>52279.0</v>
      </c>
      <c r="D4" s="5">
        <v>50000.0</v>
      </c>
      <c r="E4" s="4" t="s">
        <v>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3</v>
      </c>
      <c r="B1" s="15" t="s">
        <v>61</v>
      </c>
      <c r="C1" s="15" t="s">
        <v>62</v>
      </c>
      <c r="D1" s="15" t="s">
        <v>63</v>
      </c>
    </row>
    <row r="2">
      <c r="A2" s="15" t="s">
        <v>64</v>
      </c>
      <c r="B2" s="15" t="s">
        <v>3</v>
      </c>
      <c r="C2" s="15" t="s">
        <v>12</v>
      </c>
      <c r="D2" s="35">
        <v>30.0</v>
      </c>
    </row>
    <row r="3">
      <c r="A3" s="15" t="s">
        <v>64</v>
      </c>
      <c r="B3" s="15" t="s">
        <v>3</v>
      </c>
      <c r="C3" s="15" t="s">
        <v>44</v>
      </c>
      <c r="D3" s="35">
        <v>60.0</v>
      </c>
    </row>
    <row r="4">
      <c r="A4" s="15" t="s">
        <v>64</v>
      </c>
      <c r="B4" s="15" t="s">
        <v>3</v>
      </c>
      <c r="C4" s="15" t="s">
        <v>16</v>
      </c>
      <c r="D4" s="35">
        <v>10.0</v>
      </c>
    </row>
    <row r="5">
      <c r="A5" s="15" t="s">
        <v>12</v>
      </c>
      <c r="B5" s="15" t="s">
        <v>1</v>
      </c>
      <c r="C5" s="15" t="s">
        <v>43</v>
      </c>
      <c r="D5" s="35">
        <v>100.0</v>
      </c>
    </row>
    <row r="6">
      <c r="A6" s="15" t="s">
        <v>16</v>
      </c>
      <c r="B6" s="15" t="s">
        <v>1</v>
      </c>
      <c r="C6" s="15" t="s">
        <v>38</v>
      </c>
      <c r="D6" s="35">
        <v>20.0</v>
      </c>
    </row>
    <row r="7">
      <c r="A7" s="15" t="s">
        <v>16</v>
      </c>
      <c r="B7" s="15" t="s">
        <v>1</v>
      </c>
      <c r="C7" s="15" t="s">
        <v>30</v>
      </c>
      <c r="D7" s="35">
        <v>80.0</v>
      </c>
    </row>
    <row r="8">
      <c r="A8" s="15" t="s">
        <v>44</v>
      </c>
      <c r="B8" s="15" t="s">
        <v>1</v>
      </c>
      <c r="C8" s="15" t="s">
        <v>30</v>
      </c>
      <c r="D8" s="35">
        <v>100.0</v>
      </c>
    </row>
    <row r="9">
      <c r="A9" s="15" t="s">
        <v>44</v>
      </c>
      <c r="B9" s="15" t="s">
        <v>22</v>
      </c>
      <c r="C9" s="15" t="s">
        <v>60</v>
      </c>
      <c r="D9" s="35">
        <v>40.0</v>
      </c>
    </row>
    <row r="10">
      <c r="A10" s="15" t="s">
        <v>44</v>
      </c>
      <c r="B10" s="15" t="s">
        <v>22</v>
      </c>
      <c r="C10" s="15" t="s">
        <v>57</v>
      </c>
      <c r="D10" s="35">
        <v>20.0</v>
      </c>
    </row>
    <row r="11">
      <c r="A11" s="15" t="s">
        <v>44</v>
      </c>
      <c r="B11" s="15" t="s">
        <v>22</v>
      </c>
      <c r="C11" s="15" t="s">
        <v>49</v>
      </c>
      <c r="D11" s="35">
        <v>25.0</v>
      </c>
    </row>
    <row r="12">
      <c r="A12" s="15" t="s">
        <v>44</v>
      </c>
      <c r="B12" s="15" t="s">
        <v>22</v>
      </c>
      <c r="C12" s="15" t="s">
        <v>33</v>
      </c>
      <c r="D12" s="35">
        <v>15.0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65</v>
      </c>
      <c r="C1" s="4" t="s">
        <v>2</v>
      </c>
    </row>
    <row r="2">
      <c r="A2" s="3">
        <v>45322.0</v>
      </c>
      <c r="B2" s="4" t="s">
        <v>39</v>
      </c>
      <c r="C2" s="4">
        <v>100.0</v>
      </c>
    </row>
    <row r="3">
      <c r="A3" s="3">
        <v>45351.0</v>
      </c>
      <c r="B3" s="4" t="s">
        <v>39</v>
      </c>
      <c r="C3" s="4">
        <v>105.0</v>
      </c>
    </row>
    <row r="4">
      <c r="A4" s="3">
        <v>45382.0</v>
      </c>
      <c r="B4" s="4" t="s">
        <v>39</v>
      </c>
      <c r="C4" s="4">
        <v>98.0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</row>
    <row r="2">
      <c r="A2" s="36"/>
      <c r="B2" s="4" t="s">
        <v>39</v>
      </c>
      <c r="C2" s="22"/>
      <c r="D2" s="22"/>
      <c r="E2" s="22"/>
      <c r="F2" s="22"/>
    </row>
    <row r="3">
      <c r="A3" s="4" t="s">
        <v>12</v>
      </c>
      <c r="B3" s="4" t="s">
        <v>39</v>
      </c>
      <c r="C3" s="36"/>
      <c r="D3" s="22"/>
      <c r="E3" s="22"/>
      <c r="F3" s="22"/>
    </row>
    <row r="4">
      <c r="A4" s="4" t="s">
        <v>16</v>
      </c>
      <c r="B4" s="4" t="s">
        <v>39</v>
      </c>
      <c r="C4" s="36"/>
      <c r="D4" s="22"/>
      <c r="E4" s="22"/>
      <c r="F4" s="22"/>
    </row>
    <row r="5">
      <c r="A5" s="4" t="s">
        <v>70</v>
      </c>
      <c r="B5" s="4" t="s">
        <v>39</v>
      </c>
      <c r="C5" s="22"/>
      <c r="D5" s="22"/>
      <c r="E5" s="22"/>
      <c r="F5" s="22"/>
    </row>
    <row r="6">
      <c r="A6" s="22"/>
      <c r="B6" s="22"/>
      <c r="C6" s="22"/>
      <c r="D6" s="22"/>
      <c r="E6" s="22"/>
      <c r="F6" s="22"/>
    </row>
  </sheetData>
  <drawing r:id="rId1"/>
</worksheet>
</file>